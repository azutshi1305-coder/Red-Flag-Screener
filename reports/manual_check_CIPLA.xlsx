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a308eb58f7744a/Desktop/"/>
    </mc:Choice>
  </mc:AlternateContent>
  <xr:revisionPtr revIDLastSave="0" documentId="8_{DC10513D-C9DB-4E88-AA91-056AE857CCCD}" xr6:coauthVersionLast="47" xr6:coauthVersionMax="47" xr10:uidLastSave="{00000000-0000-0000-0000-000000000000}"/>
  <bookViews>
    <workbookView xWindow="-110" yWindow="-110" windowWidth="19420" windowHeight="11020" xr2:uid="{17CB0134-D058-4B54-9F45-DFC2588AE3EE}"/>
  </bookViews>
  <sheets>
    <sheet name="Inputs " sheetId="1" r:id="rId1"/>
    <sheet name="Altman" sheetId="2" r:id="rId2"/>
    <sheet name="Piotroski" sheetId="3" r:id="rId3"/>
    <sheet name="Beneis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C6" i="3"/>
  <c r="C5" i="3"/>
  <c r="C4" i="3"/>
  <c r="C3" i="3"/>
  <c r="C2" i="3"/>
  <c r="D8" i="3"/>
  <c r="B11" i="4"/>
  <c r="B9" i="4"/>
  <c r="B8" i="4"/>
  <c r="B7" i="4"/>
  <c r="B6" i="4"/>
  <c r="B5" i="4"/>
  <c r="B4" i="4"/>
  <c r="B3" i="4"/>
  <c r="B2" i="4"/>
  <c r="D10" i="3"/>
  <c r="D9" i="3"/>
  <c r="D7" i="3"/>
  <c r="D6" i="3"/>
  <c r="D5" i="3"/>
  <c r="D4" i="3"/>
  <c r="D3" i="3"/>
  <c r="D2" i="3"/>
  <c r="B5" i="2"/>
  <c r="B4" i="2"/>
  <c r="B3" i="2"/>
  <c r="B2" i="2"/>
  <c r="B6" i="2" s="1"/>
  <c r="B7" i="2" s="1"/>
  <c r="D11" i="3" l="1"/>
  <c r="B10" i="4"/>
</calcChain>
</file>

<file path=xl/sharedStrings.xml><?xml version="1.0" encoding="utf-8"?>
<sst xmlns="http://schemas.openxmlformats.org/spreadsheetml/2006/main" count="89" uniqueCount="88">
  <si>
    <t>field</t>
  </si>
  <si>
    <t>FY2024</t>
  </si>
  <si>
    <t>FY2025</t>
  </si>
  <si>
    <t>FY2026</t>
  </si>
  <si>
    <t>revenue</t>
  </si>
  <si>
    <t>gross_profit</t>
  </si>
  <si>
    <t>ebit</t>
  </si>
  <si>
    <t>net_income</t>
  </si>
  <si>
    <t>sga</t>
  </si>
  <si>
    <t>depreciation</t>
  </si>
  <si>
    <t>total_assets</t>
  </si>
  <si>
    <t>current_assets</t>
  </si>
  <si>
    <t>current_liabilities</t>
  </si>
  <si>
    <t>retained_earnings</t>
  </si>
  <si>
    <t>total_equity</t>
  </si>
  <si>
    <t>total_liabilities</t>
  </si>
  <si>
    <t>receivables</t>
  </si>
  <si>
    <t>net_ppe</t>
  </si>
  <si>
    <t>long_term_debt</t>
  </si>
  <si>
    <t>shares_outstanding</t>
  </si>
  <si>
    <t>operating_cash_flow</t>
  </si>
  <si>
    <t>X1 Working capital / Total assets</t>
  </si>
  <si>
    <t>How much short-term cushion does Cipla have?</t>
  </si>
  <si>
    <t>X2 Retained earnings / Total assets</t>
  </si>
  <si>
    <t>How much of its assets were funded by past profits?</t>
  </si>
  <si>
    <t>X3 EBIT / Total assets</t>
  </si>
  <si>
    <t>How profitably does it use its assets?</t>
  </si>
  <si>
    <t>X4 Equity / Total liabilities</t>
  </si>
  <si>
    <t>How big is the cushion before creditors lose money?</t>
  </si>
  <si>
    <t>Z″ score</t>
  </si>
  <si>
    <t>Zone</t>
  </si>
  <si>
    <t>1. ROA &gt; 0</t>
  </si>
  <si>
    <t>The company is profitable</t>
  </si>
  <si>
    <t>2. Operating cash flow &gt; 0</t>
  </si>
  <si>
    <t>It generates real cash</t>
  </si>
  <si>
    <t>3. ROA improved</t>
  </si>
  <si>
    <t>Profitability is getting better</t>
  </si>
  <si>
    <t>4. Cash flow &gt; Net income</t>
  </si>
  <si>
    <t>Profits are backed by cash (accrual check)</t>
  </si>
  <si>
    <t>5. Leverage fell (or stayed at zero)</t>
  </si>
  <si>
    <t>Less reliance on long-term debt</t>
  </si>
  <si>
    <t>6. Current ratio improved</t>
  </si>
  <si>
    <t>Short-term liquidity is better</t>
  </si>
  <si>
    <t>7. No new shares issued</t>
  </si>
  <si>
    <t>Didn't need to raise equity</t>
  </si>
  <si>
    <t>8. Gross margin improved</t>
  </si>
  <si>
    <t>Pricing power or cost control</t>
  </si>
  <si>
    <t>9. Asset turnover improved</t>
  </si>
  <si>
    <t>Using assets more efficiently</t>
  </si>
  <si>
    <t>F-score</t>
  </si>
  <si>
    <t>Red flag when high because…</t>
  </si>
  <si>
    <t>DSRI</t>
  </si>
  <si>
    <t>Sales booked but cash not collected</t>
  </si>
  <si>
    <t>GMI</t>
  </si>
  <si>
    <t>Worsening margins create pressure to manipulate</t>
  </si>
  <si>
    <t>AQI</t>
  </si>
  <si>
    <t>Costs pushed into vague "other" assets</t>
  </si>
  <si>
    <t>SGI</t>
  </si>
  <si>
    <t>Fast growth creates pressure to keep growing</t>
  </si>
  <si>
    <t>DEPI</t>
  </si>
  <si>
    <t>Slowing depreciation inflates profit</t>
  </si>
  <si>
    <t>SGAI</t>
  </si>
  <si>
    <t>Overheads rising faster than sales</t>
  </si>
  <si>
    <t>LVGI</t>
  </si>
  <si>
    <t>Rising debt raises the incentive to manipulate</t>
  </si>
  <si>
    <t>TATA</t>
  </si>
  <si>
    <r>
      <t>The strongest signal:</t>
    </r>
    <r>
      <rPr>
        <sz val="11"/>
        <color theme="1"/>
        <rFont val="Calibri"/>
        <family val="2"/>
        <scheme val="minor"/>
      </rPr>
      <t xml:space="preserve"> profit not backed by cash</t>
    </r>
  </si>
  <si>
    <t>M-score</t>
  </si>
  <si>
    <t>Verdict</t>
  </si>
  <si>
    <t>ROA FY2025</t>
  </si>
  <si>
    <t>Current ratio FY2026</t>
  </si>
  <si>
    <t>Current ratio FY2025</t>
  </si>
  <si>
    <t>Gross margin FY2026</t>
  </si>
  <si>
    <t>Gross margin FY2025</t>
  </si>
  <si>
    <t>Asset turnover FY2026</t>
  </si>
  <si>
    <t>Asset turnover FY2025</t>
  </si>
  <si>
    <t>Leverage FY2026</t>
  </si>
  <si>
    <t>Leverage FY2025</t>
  </si>
  <si>
    <t>ROA FY2026</t>
  </si>
  <si>
    <t>TEST</t>
  </si>
  <si>
    <t>VALUE LABEL</t>
  </si>
  <si>
    <t>VALUE</t>
  </si>
  <si>
    <t>RESULT</t>
  </si>
  <si>
    <t>WHY IT MATTERS</t>
  </si>
  <si>
    <t>LABEL</t>
  </si>
  <si>
    <t>FORMULA</t>
  </si>
  <si>
    <t>WHY IT MATTERS?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</si>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</sst>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1B60-0F51-48A2-81E0-4D4FC6AC2EDC}">
  <dimension ref="A1:E18"/>
  <sheetViews>
    <sheetView tabSelected="1" workbookViewId="0">
      <selection activeCell="F14" sqref="F14"/>
    </sheetView>
  </sheetViews>
  <sheetFormatPr defaultRowHeight="14.5"/>
  <cols>
    <col min="1" max="1" width="24.1796875" style="1" customWidth="1"/>
    <col min="2" max="4" width="10.6328125" style="1" bestFit="1" customWidth="1"/>
    <col min="5" max="5" width="8.7265625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25446.63</v>
      </c>
      <c r="C2" s="3">
        <v>27145.4</v>
      </c>
      <c r="D2" s="3">
        <v>27711.69</v>
      </c>
    </row>
    <row r="3" spans="1:4">
      <c r="A3" s="3" t="s">
        <v>5</v>
      </c>
      <c r="B3" s="3">
        <v>15854.25</v>
      </c>
      <c r="C3" s="3">
        <v>17382.66</v>
      </c>
      <c r="D3" s="3">
        <v>17259.599999999999</v>
      </c>
    </row>
    <row r="4" spans="1:4">
      <c r="A4" s="3" t="s">
        <v>6</v>
      </c>
      <c r="B4" s="3">
        <v>5773.03</v>
      </c>
      <c r="C4" s="3">
        <v>6864.83</v>
      </c>
      <c r="D4" s="3">
        <v>5271.86</v>
      </c>
    </row>
    <row r="5" spans="1:4">
      <c r="A5" s="3" t="s">
        <v>7</v>
      </c>
      <c r="B5" s="3">
        <v>4121.55</v>
      </c>
      <c r="C5" s="3">
        <v>5272.52</v>
      </c>
      <c r="D5" s="3">
        <v>3879.23</v>
      </c>
    </row>
    <row r="6" spans="1:4">
      <c r="A6" s="3" t="s">
        <v>8</v>
      </c>
      <c r="B6" s="3">
        <v>2783.96</v>
      </c>
      <c r="C6" s="3">
        <v>2955.02</v>
      </c>
      <c r="D6" s="3">
        <v>3086.23</v>
      </c>
    </row>
    <row r="7" spans="1:4">
      <c r="A7" s="3" t="s">
        <v>9</v>
      </c>
      <c r="B7" s="3">
        <v>941.61</v>
      </c>
      <c r="C7" s="3">
        <v>995.45</v>
      </c>
      <c r="D7" s="3">
        <v>1083.6199999999999</v>
      </c>
    </row>
    <row r="8" spans="1:4">
      <c r="A8" s="3" t="s">
        <v>10</v>
      </c>
      <c r="B8" s="3">
        <v>32717.82</v>
      </c>
      <c r="C8" s="3">
        <v>37387.040000000001</v>
      </c>
      <c r="D8" s="3">
        <v>42495.98</v>
      </c>
    </row>
    <row r="9" spans="1:4">
      <c r="A9" s="3" t="s">
        <v>11</v>
      </c>
      <c r="B9" s="3">
        <v>19441.41</v>
      </c>
      <c r="C9" s="3">
        <v>23288.52</v>
      </c>
      <c r="D9" s="3">
        <v>24147.03</v>
      </c>
    </row>
    <row r="10" spans="1:4">
      <c r="A10" s="3" t="s">
        <v>12</v>
      </c>
      <c r="B10" s="3">
        <v>5245.77</v>
      </c>
      <c r="C10" s="3">
        <v>5483.96</v>
      </c>
      <c r="D10" s="3">
        <v>7013.59</v>
      </c>
    </row>
    <row r="11" spans="1:4">
      <c r="A11" s="3" t="s">
        <v>13</v>
      </c>
      <c r="B11" s="3">
        <v>21438.78</v>
      </c>
      <c r="C11" s="3">
        <v>25644.28</v>
      </c>
      <c r="D11" s="3">
        <v>28216</v>
      </c>
    </row>
    <row r="12" spans="1:4">
      <c r="A12" s="3" t="s">
        <v>14</v>
      </c>
      <c r="B12" s="3">
        <v>26706.43</v>
      </c>
      <c r="C12" s="3">
        <v>31193.45</v>
      </c>
      <c r="D12" s="3">
        <v>34431.949999999997</v>
      </c>
    </row>
    <row r="13" spans="1:4">
      <c r="A13" s="3" t="s">
        <v>15</v>
      </c>
      <c r="B13" s="3">
        <v>5915.49</v>
      </c>
      <c r="C13" s="3">
        <v>6097.79</v>
      </c>
      <c r="D13" s="3">
        <v>7975.74</v>
      </c>
    </row>
    <row r="14" spans="1:4">
      <c r="A14" s="3" t="s">
        <v>16</v>
      </c>
      <c r="B14" s="3">
        <v>4770.66</v>
      </c>
      <c r="C14" s="3">
        <v>5506.37</v>
      </c>
      <c r="D14" s="3">
        <v>5620.05</v>
      </c>
    </row>
    <row r="15" spans="1:4">
      <c r="A15" s="3" t="s">
        <v>17</v>
      </c>
      <c r="B15" s="3">
        <v>6171.11</v>
      </c>
      <c r="C15" s="3">
        <v>6705.45</v>
      </c>
      <c r="D15" s="3">
        <v>7982.77</v>
      </c>
    </row>
    <row r="16" spans="1:4">
      <c r="A16" s="3" t="s">
        <v>18</v>
      </c>
      <c r="B16" s="3">
        <v>0</v>
      </c>
      <c r="C16" s="3">
        <v>11.98</v>
      </c>
      <c r="D16" s="3">
        <v>117.47</v>
      </c>
    </row>
    <row r="17" spans="1:4">
      <c r="A17" s="3" t="s">
        <v>19</v>
      </c>
      <c r="B17" s="3">
        <v>807367062</v>
      </c>
      <c r="C17" s="3">
        <v>807617120</v>
      </c>
      <c r="D17" s="3">
        <v>807782631</v>
      </c>
    </row>
    <row r="18" spans="1:4">
      <c r="A18" s="3" t="s">
        <v>20</v>
      </c>
      <c r="B18" s="3">
        <v>4133.91</v>
      </c>
      <c r="C18" s="3">
        <v>5004.9799999999996</v>
      </c>
      <c r="D18" s="3">
        <v>3940.02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5E65-50C2-4F41-A683-095F6618F6E0}">
  <dimension ref="A1:C7"/>
  <sheetViews>
    <sheetView workbookViewId="0">
      <selection activeCell="E2" sqref="E2"/>
    </sheetView>
  </sheetViews>
  <sheetFormatPr defaultRowHeight="14.5"/>
  <cols>
    <col min="1" max="1" width="12.6328125" customWidth="1"/>
    <col min="2" max="2" width="11.36328125" bestFit="1" customWidth="1"/>
    <col min="3" max="3" width="17.453125" customWidth="1"/>
  </cols>
  <sheetData>
    <row r="1" spans="1:3" ht="35" customHeight="1">
      <c r="A1" s="11" t="s">
        <v>84</v>
      </c>
      <c r="B1" s="11" t="s">
        <v>85</v>
      </c>
      <c r="C1" s="11" t="s">
        <v>86</v>
      </c>
    </row>
    <row r="2" spans="1:3" ht="43.5">
      <c r="A2" s="12" t="s">
        <v>21</v>
      </c>
      <c r="B2" s="12">
        <f>('Inputs '!D9-'Inputs '!D10)/'Inputs '!D8</f>
        <v>0.40317790059200886</v>
      </c>
      <c r="C2" s="12" t="s">
        <v>22</v>
      </c>
    </row>
    <row r="3" spans="1:3" ht="43.5">
      <c r="A3" s="12" t="s">
        <v>23</v>
      </c>
      <c r="B3" s="13">
        <f>'Inputs '!D11/'Inputs '!D8</f>
        <v>0.66396868597923842</v>
      </c>
      <c r="C3" s="12" t="s">
        <v>24</v>
      </c>
    </row>
    <row r="4" spans="1:3" ht="43.5">
      <c r="A4" s="12" t="s">
        <v>25</v>
      </c>
      <c r="B4" s="13">
        <f>'Inputs '!D4/'Inputs '!D8</f>
        <v>0.1240554988966015</v>
      </c>
      <c r="C4" s="12" t="s">
        <v>26</v>
      </c>
    </row>
    <row r="5" spans="1:3" ht="58">
      <c r="A5" s="12" t="s">
        <v>27</v>
      </c>
      <c r="B5" s="13">
        <f>'Inputs '!D12/'Inputs '!D13</f>
        <v>4.3170853112062328</v>
      </c>
      <c r="C5" s="12" t="s">
        <v>28</v>
      </c>
    </row>
    <row r="6" spans="1:3">
      <c r="A6" s="11" t="s">
        <v>29</v>
      </c>
      <c r="B6" s="13">
        <f>6.56*B2+3.26*B3+6.72*B4+1.05*B5</f>
        <v>10.175977473527603</v>
      </c>
      <c r="C6" s="2"/>
    </row>
    <row r="7" spans="1:3">
      <c r="A7" s="11" t="s">
        <v>30</v>
      </c>
      <c r="B7" s="2" t="str">
        <f>IF(B6&gt;2.6,"Safe",IF(B6&gt;=1.1,"Grey","Distress"))</f>
        <v>Safe</v>
      </c>
      <c r="C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A9AA-E38D-4AB6-B6EA-278C027CE9FD}">
  <dimension ref="A1:E11"/>
  <sheetViews>
    <sheetView zoomScale="82" workbookViewId="0">
      <selection activeCell="A2" sqref="A2"/>
    </sheetView>
  </sheetViews>
  <sheetFormatPr defaultRowHeight="20" customHeight="1"/>
  <cols>
    <col min="1" max="1" width="11.90625" customWidth="1"/>
    <col min="2" max="2" width="16.81640625" customWidth="1"/>
    <col min="3" max="3" width="18.54296875" customWidth="1"/>
    <col min="4" max="4" width="14.6328125" customWidth="1"/>
    <col min="5" max="5" width="17.1796875" customWidth="1"/>
  </cols>
  <sheetData>
    <row r="1" spans="1:5" ht="30" customHeight="1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</row>
    <row r="2" spans="1:5" ht="30" customHeight="1">
      <c r="A2" s="9" t="s">
        <v>31</v>
      </c>
      <c r="B2" s="7" t="s">
        <v>78</v>
      </c>
      <c r="C2" s="8">
        <f>'Inputs '!D5/'Inputs '!C8</f>
        <v>0.10375868215295996</v>
      </c>
      <c r="D2" s="15">
        <f>IF('Inputs '!D5/'Inputs '!C8&gt;0,1,0)</f>
        <v>1</v>
      </c>
      <c r="E2" s="9" t="s">
        <v>32</v>
      </c>
    </row>
    <row r="3" spans="1:5" ht="30" customHeight="1">
      <c r="A3" s="9" t="s">
        <v>33</v>
      </c>
      <c r="B3" s="6" t="s">
        <v>69</v>
      </c>
      <c r="C3" s="8">
        <f>'Inputs '!C5/'Inputs '!B8</f>
        <v>0.16115132365175922</v>
      </c>
      <c r="D3" s="14">
        <f>IF('Inputs '!D18&gt;0,1,0)</f>
        <v>1</v>
      </c>
      <c r="E3" s="9" t="s">
        <v>34</v>
      </c>
    </row>
    <row r="4" spans="1:5" ht="30" customHeight="1">
      <c r="A4" s="9" t="s">
        <v>35</v>
      </c>
      <c r="B4" s="6" t="s">
        <v>70</v>
      </c>
      <c r="C4" s="8">
        <f>'Inputs '!D9/'Inputs '!D10</f>
        <v>3.44289158619195</v>
      </c>
      <c r="D4" s="16">
        <f>IF('Inputs '!D5/'Inputs '!C8&gt;'Inputs '!C5/'Inputs '!B8,1,0)</f>
        <v>0</v>
      </c>
      <c r="E4" s="6" t="s">
        <v>36</v>
      </c>
    </row>
    <row r="5" spans="1:5" ht="30" customHeight="1">
      <c r="A5" s="9" t="s">
        <v>37</v>
      </c>
      <c r="B5" s="6" t="s">
        <v>71</v>
      </c>
      <c r="C5" s="8">
        <f>'Inputs '!C9/'Inputs '!C10</f>
        <v>4.2466611718539156</v>
      </c>
      <c r="D5" s="14">
        <f>IF('Inputs '!D18&gt;'Inputs '!D5,1,0)</f>
        <v>1</v>
      </c>
      <c r="E5" s="9" t="s">
        <v>38</v>
      </c>
    </row>
    <row r="6" spans="1:5" ht="30" customHeight="1">
      <c r="A6" s="9" t="s">
        <v>39</v>
      </c>
      <c r="B6" s="6" t="s">
        <v>72</v>
      </c>
      <c r="C6" s="8">
        <f>'Inputs '!D3/'Inputs '!D2</f>
        <v>0.6228274060513812</v>
      </c>
      <c r="D6" s="14">
        <f>IF(OR('Inputs '!D16/AVERAGE('Inputs '!C8:D8)&lt;'Inputs '!C16/AVERAGE('Inputs '!B8:C8),AND('Inputs '!C16=0,'Inputs '!D16=0)),1,0)</f>
        <v>0</v>
      </c>
      <c r="E6" s="9" t="s">
        <v>40</v>
      </c>
    </row>
    <row r="7" spans="1:5" ht="30" customHeight="1">
      <c r="A7" s="9" t="s">
        <v>41</v>
      </c>
      <c r="B7" s="6" t="s">
        <v>73</v>
      </c>
      <c r="C7" s="8">
        <f>'Inputs '!C3/'Inputs '!C2</f>
        <v>0.64035379843362039</v>
      </c>
      <c r="D7" s="14">
        <f>IF('Inputs '!D9/'Inputs '!D10&gt;'Inputs '!C9/'Inputs '!C10,1,0)</f>
        <v>0</v>
      </c>
      <c r="E7" s="9" t="s">
        <v>42</v>
      </c>
    </row>
    <row r="8" spans="1:5" ht="30" customHeight="1">
      <c r="A8" s="9" t="s">
        <v>43</v>
      </c>
      <c r="B8" s="6" t="s">
        <v>74</v>
      </c>
      <c r="C8" s="8">
        <f>'Inputs '!D2/'Inputs '!C8</f>
        <v>0.74121112556650637</v>
      </c>
      <c r="D8" s="14">
        <f>IF('Inputs '!D17&lt;='Inputs '!C17*1.01,1,0)</f>
        <v>1</v>
      </c>
      <c r="E8" s="9" t="s">
        <v>44</v>
      </c>
    </row>
    <row r="9" spans="1:5" ht="30" customHeight="1">
      <c r="A9" s="9" t="s">
        <v>45</v>
      </c>
      <c r="B9" s="6" t="s">
        <v>75</v>
      </c>
      <c r="C9" s="8">
        <f>'Inputs '!C2/'Inputs '!B8</f>
        <v>0.82968241771609486</v>
      </c>
      <c r="D9" s="14">
        <f>IF('Inputs '!D3/'Inputs '!D2&gt;'Inputs '!C3/'Inputs '!C2,1,0)</f>
        <v>0</v>
      </c>
      <c r="E9" s="9" t="s">
        <v>46</v>
      </c>
    </row>
    <row r="10" spans="1:5" ht="30" customHeight="1">
      <c r="A10" s="9" t="s">
        <v>47</v>
      </c>
      <c r="B10" s="6" t="s">
        <v>76</v>
      </c>
      <c r="C10" s="8">
        <f>'Inputs '!D16/AVERAGE('Inputs '!C8:D8)</f>
        <v>2.9410505511684457E-3</v>
      </c>
      <c r="D10" s="14">
        <f>IF('Inputs '!D2/'Inputs '!C8&gt;'Inputs '!C2/'Inputs '!B8,1,0)</f>
        <v>0</v>
      </c>
      <c r="E10" s="9" t="s">
        <v>48</v>
      </c>
    </row>
    <row r="11" spans="1:5" ht="30" customHeight="1">
      <c r="A11" s="10" t="s">
        <v>49</v>
      </c>
      <c r="B11" s="6" t="s">
        <v>77</v>
      </c>
      <c r="C11" s="8">
        <f>'Inputs '!C16/AVERAGE('Inputs '!B8:C8)</f>
        <v>3.4177373722734771E-4</v>
      </c>
      <c r="D11" s="14">
        <f>SUM(D2:D10)</f>
        <v>4</v>
      </c>
      <c r="E1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DDBC-DEE8-421F-BA65-DC70F490CD39}">
  <dimension ref="A1:D11"/>
  <sheetViews>
    <sheetView workbookViewId="0">
      <selection activeCell="D4" sqref="D4"/>
    </sheetView>
  </sheetViews>
  <sheetFormatPr defaultRowHeight="14.5"/>
  <cols>
    <col min="2" max="2" width="26.90625" customWidth="1"/>
    <col min="3" max="3" width="25.7265625" customWidth="1"/>
  </cols>
  <sheetData>
    <row r="1" spans="1:4" ht="30" customHeight="1">
      <c r="A1" s="11" t="s">
        <v>87</v>
      </c>
      <c r="B1" s="11" t="s">
        <v>85</v>
      </c>
      <c r="C1" s="11" t="s">
        <v>50</v>
      </c>
    </row>
    <row r="2" spans="1:4" ht="30" customHeight="1">
      <c r="A2" s="12" t="s">
        <v>51</v>
      </c>
      <c r="B2" s="13">
        <f>('Inputs '!D14/'Inputs '!D2)/('Inputs '!C14/'Inputs '!C2)</f>
        <v>0.99978823630658131</v>
      </c>
      <c r="C2" s="12" t="s">
        <v>52</v>
      </c>
    </row>
    <row r="3" spans="1:4" ht="30" customHeight="1">
      <c r="A3" s="12" t="s">
        <v>53</v>
      </c>
      <c r="B3" s="13">
        <f>('Inputs '!C3/'Inputs '!C2)/('Inputs '!D3/'Inputs '!D2)</f>
        <v>1.0281400468443633</v>
      </c>
      <c r="C3" s="12" t="s">
        <v>54</v>
      </c>
    </row>
    <row r="4" spans="1:4" ht="30" customHeight="1">
      <c r="A4" s="12" t="s">
        <v>55</v>
      </c>
      <c r="B4" s="13">
        <f>(1-('Inputs '!D9+'Inputs '!D15)/'Inputs '!D8)/(1-('Inputs '!C9+'Inputs '!C15)/'Inputs '!C8)</f>
        <v>1.2335795500248841</v>
      </c>
      <c r="C4" s="12" t="s">
        <v>56</v>
      </c>
    </row>
    <row r="5" spans="1:4" ht="30" customHeight="1">
      <c r="A5" s="12" t="s">
        <v>57</v>
      </c>
      <c r="B5" s="13">
        <f>'Inputs '!D2/'Inputs '!C2</f>
        <v>1.0208613614092994</v>
      </c>
      <c r="C5" s="12" t="s">
        <v>58</v>
      </c>
    </row>
    <row r="6" spans="1:4" ht="30" customHeight="1">
      <c r="A6" s="12" t="s">
        <v>59</v>
      </c>
      <c r="B6" s="13">
        <f>('Inputs '!C7/('Inputs '!C7+'Inputs '!C15))/('Inputs '!D7/('Inputs '!D7+'Inputs '!D15))</f>
        <v>1.0815219839768615</v>
      </c>
      <c r="C6" s="12" t="s">
        <v>60</v>
      </c>
    </row>
    <row r="7" spans="1:4" ht="30" customHeight="1">
      <c r="A7" s="12" t="s">
        <v>61</v>
      </c>
      <c r="B7" s="13">
        <f>('Inputs '!D6/'Inputs '!D2)/('Inputs '!C6/'Inputs '!C2)</f>
        <v>1.0230599827092117</v>
      </c>
      <c r="C7" s="12" t="s">
        <v>62</v>
      </c>
    </row>
    <row r="8" spans="1:4" ht="30" customHeight="1">
      <c r="A8" s="12" t="s">
        <v>63</v>
      </c>
      <c r="B8" s="13">
        <f>(('Inputs '!D10+'Inputs '!D16)/'Inputs '!D8)/(('Inputs '!C10+'Inputs '!C16)/'Inputs '!C8)</f>
        <v>1.1415247745195887</v>
      </c>
      <c r="C8" s="12" t="s">
        <v>64</v>
      </c>
    </row>
    <row r="9" spans="1:4" ht="30" customHeight="1">
      <c r="A9" s="12" t="s">
        <v>65</v>
      </c>
      <c r="B9" s="13">
        <f>('Inputs '!D5-'Inputs '!D18)/'Inputs '!D8</f>
        <v>-1.4304882485355077E-3</v>
      </c>
      <c r="C9" s="11" t="s">
        <v>66</v>
      </c>
    </row>
    <row r="10" spans="1:4">
      <c r="A10" s="11" t="s">
        <v>67</v>
      </c>
      <c r="B10" s="13">
        <f>-4.84+0.92*B2+0.528*B3+0.404*B4+0.892*B5+0.115*B6-0.172*B7-0.327*B8+4.679*B9</f>
        <v>-2.3999255499284211</v>
      </c>
      <c r="C10" s="2"/>
      <c r="D10" s="5"/>
    </row>
    <row r="11" spans="1:4">
      <c r="A11" s="11" t="s">
        <v>68</v>
      </c>
      <c r="B11" s="13" t="str">
        <f>IF(B10&gt;-1.78,"Likely manipulator","Unlikely manipulator")</f>
        <v>Unlikely manipulator</v>
      </c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 </vt:lpstr>
      <vt:lpstr>Altman</vt:lpstr>
      <vt:lpstr>Piotroski</vt:lpstr>
      <vt:lpstr>Beneish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Annapurna Zutshi</dc:creator>
  <cp:lastModifiedBy>Annapurna Zutshi</cp:lastModifiedBy>
  <dcterms:created xsi:type="dcterms:W3CDTF">2026-10-05T09:50:48Z</dcterms:created>
  <dcterms:modified xsi:type="dcterms:W3CDTF">2026-10-05T14:02:24Z</dcterms:modified>
</cp:coreProperties>
</file>